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0.0"/>
    <numFmt numFmtId="167" formatCode="0.000"/>
    <numFmt numFmtId="168" formatCode="&quot;R$&quot; #,##0.00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0000FF"/>
    </font>
    <font>
      <i val="1"/>
      <color rgb="00666666"/>
    </font>
    <font/>
    <font>
      <b val="1"/>
    </font>
    <font>
      <i val="1"/>
      <color rgb="00990000"/>
    </font>
  </fonts>
  <fills count="5">
    <fill>
      <patternFill/>
    </fill>
    <fill>
      <patternFill patternType="gray125"/>
    </fill>
    <fill>
      <patternFill patternType="solid">
        <fgColor rgb="000F3B7A"/>
      </patternFill>
    </fill>
    <fill>
      <patternFill patternType="solid">
        <fgColor rgb="00FFF8DC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3" fillId="3" borderId="1" pivotButton="0" quotePrefix="0" xfId="0"/>
    <xf numFmtId="0" fontId="4" fillId="0" borderId="0" pivotButton="0" quotePrefix="0" xfId="0"/>
    <xf numFmtId="165" fontId="3" fillId="3" borderId="1" pivotButton="0" quotePrefix="0" xfId="0"/>
    <xf numFmtId="3" fontId="3" fillId="3" borderId="1" pivotButton="0" quotePrefix="0" xfId="0"/>
    <xf numFmtId="166" fontId="3" fillId="3" borderId="1" pivotButton="0" quotePrefix="0" xfId="0"/>
    <xf numFmtId="167" fontId="3" fillId="3" borderId="1" pivotButton="0" quotePrefix="0" xfId="0"/>
    <xf numFmtId="2" fontId="3" fillId="3" borderId="1" pivotButton="0" quotePrefix="0" xfId="0"/>
    <xf numFmtId="0" fontId="5" fillId="0" borderId="0" pivotButton="0" quotePrefix="0" xfId="0"/>
    <xf numFmtId="168" fontId="0" fillId="4" borderId="1" pivotButton="0" quotePrefix="0" xfId="0"/>
    <xf numFmtId="164" fontId="0" fillId="4" borderId="1" pivotButton="0" quotePrefix="0" xfId="0"/>
    <xf numFmtId="0" fontId="6" fillId="0" borderId="0" pivotButton="0" quotePrefix="0" xfId="0"/>
    <xf numFmtId="164" fontId="6" fillId="4" borderId="1" pivotButton="0" quotePrefix="0" xfId="0"/>
    <xf numFmtId="3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</cols>
  <sheetData>
    <row r="1">
      <c r="A1" s="1" t="inlineStr">
        <is>
          <t>Medde — simulador financeiro (células amarelas com letra azul = você pode mudar)</t>
        </is>
      </c>
    </row>
    <row r="3">
      <c r="A3" s="2" t="inlineStr">
        <is>
          <t>1. Premissas gerais</t>
        </is>
      </c>
      <c r="B3" s="3" t="n"/>
      <c r="C3" s="3" t="n"/>
    </row>
    <row r="4">
      <c r="A4" t="inlineStr">
        <is>
          <t>Preço da assinatura (R$ por mês)</t>
        </is>
      </c>
      <c r="B4" s="4" t="n">
        <v>29.9</v>
      </c>
      <c r="C4" s="5" t="inlineStr">
        <is>
          <t>Valor do documento mestre; a confirmar</t>
        </is>
      </c>
    </row>
    <row r="5">
      <c r="A5" t="inlineStr">
        <is>
          <t>Taxa do meio de pagamento (% da cobrança)</t>
        </is>
      </c>
      <c r="B5" s="6" t="n">
        <v>0.04</v>
      </c>
      <c r="C5" s="5" t="inlineStr">
        <is>
          <t>Premissa de docs/CUSTOS_IA.md; confirmar com o gateway</t>
        </is>
      </c>
    </row>
    <row r="6">
      <c r="A6" t="inlineStr">
        <is>
          <t>Taxa fixa por cobrança (R$)</t>
        </is>
      </c>
      <c r="B6" s="4" t="n">
        <v>0</v>
      </c>
      <c r="C6" s="5" t="inlineStr">
        <is>
          <t>Ex.: Pix com taxa fixa de ~R$ 1,99; deixe 0 se só %</t>
        </is>
      </c>
    </row>
    <row r="7">
      <c r="A7" t="inlineStr">
        <is>
          <t>Custo fixo mensal de infraestrutura (R$)</t>
        </is>
      </c>
      <c r="B7" s="4" t="n">
        <v>235</v>
      </c>
      <c r="C7" s="5" t="inlineStr">
        <is>
          <t>Supabase Pro + Vercel Pro (estimativa)</t>
        </is>
      </c>
    </row>
    <row r="8">
      <c r="A8" t="inlineStr">
        <is>
          <t>Pintores pagantes</t>
        </is>
      </c>
      <c r="B8" s="7" t="n">
        <v>100</v>
      </c>
      <c r="C8" s="5" t="inlineStr">
        <is>
          <t>Mude para ver 10, 50, 200, 1.000…</t>
        </is>
      </c>
    </row>
    <row r="10">
      <c r="A10" s="2" t="inlineStr">
        <is>
          <t>2. IA por voz (custo por orçamento ditado)</t>
        </is>
      </c>
      <c r="B10" s="3" t="n"/>
      <c r="C10" s="3" t="n"/>
    </row>
    <row r="11">
      <c r="A11" t="inlineStr">
        <is>
          <t>Orçamentos ditados por pintor por mês</t>
        </is>
      </c>
      <c r="B11" s="7" t="n">
        <v>20</v>
      </c>
      <c r="C11" s="5" t="inlineStr">
        <is>
          <t>Suposição</t>
        </is>
      </c>
    </row>
    <row r="12">
      <c r="A12" t="inlineStr">
        <is>
          <t>Minutos ditados por orçamento</t>
        </is>
      </c>
      <c r="B12" s="8" t="n">
        <v>1.5</v>
      </c>
      <c r="C12" s="5" t="inlineStr">
        <is>
          <t>Suposição</t>
        </is>
      </c>
    </row>
    <row r="13">
      <c r="A13" t="inlineStr">
        <is>
          <t>Transcrição (US$ por minuto)</t>
        </is>
      </c>
      <c r="B13" s="9" t="n">
        <v>0.003</v>
      </c>
      <c r="C13" s="5" t="inlineStr">
        <is>
          <t>Modelo 'mini'; navegador (grátis) = 0</t>
        </is>
      </c>
    </row>
    <row r="14">
      <c r="A14" t="inlineStr">
        <is>
          <t>Extração por orçamento (US$)</t>
        </is>
      </c>
      <c r="B14" s="9" t="n">
        <v>0.014</v>
      </c>
      <c r="C14" s="5" t="inlineStr">
        <is>
          <t>~2.000 tokens entrada + 1.000 saída no Sonnet 5.5</t>
        </is>
      </c>
    </row>
    <row r="15">
      <c r="A15" t="inlineStr">
        <is>
          <t>Câmbio (R$ por US$)</t>
        </is>
      </c>
      <c r="B15" s="10" t="n">
        <v>5.22</v>
      </c>
      <c r="C15" s="5" t="inlineStr">
        <is>
          <t>Fechamento de 01/10/2026 usado nos docs</t>
        </is>
      </c>
    </row>
    <row r="16">
      <c r="A16" s="11" t="inlineStr">
        <is>
          <t>Custo de IA por orçamento (R$)</t>
        </is>
      </c>
      <c r="B16" s="12">
        <f>(B12*B13+B14)*B15</f>
        <v/>
      </c>
      <c r="C16" s="5" t="inlineStr"/>
    </row>
    <row r="17">
      <c r="A17" s="11" t="inlineStr">
        <is>
          <t>Custo de IA por pintor por mês (R$)</t>
        </is>
      </c>
      <c r="B17" s="13">
        <f>B11*B16</f>
        <v/>
      </c>
      <c r="C17" s="5" t="inlineStr"/>
    </row>
    <row r="19">
      <c r="A19" s="2" t="inlineStr">
        <is>
          <t>3. Modelo A: só assinatura</t>
        </is>
      </c>
      <c r="B19" s="3" t="n"/>
      <c r="C19" s="3" t="n"/>
    </row>
    <row r="20">
      <c r="A20" s="14" t="inlineStr">
        <is>
          <t>Sobra por pintor por mês (R$)</t>
        </is>
      </c>
      <c r="B20" s="15">
        <f>B4*(1-B5)-B6-B17</f>
        <v/>
      </c>
      <c r="C20" s="5" t="inlineStr">
        <is>
          <t>Preço − taxa de pagamento − IA</t>
        </is>
      </c>
    </row>
    <row r="21">
      <c r="A21" s="11" t="inlineStr">
        <is>
          <t>Receita bruta por mês (R$)</t>
        </is>
      </c>
      <c r="B21" s="13">
        <f>B8*B4</f>
        <v/>
      </c>
      <c r="C21" s="5" t="inlineStr"/>
    </row>
    <row r="22">
      <c r="A22" s="14" t="inlineStr">
        <is>
          <t>Resultado mensal antes de impostos (R$)</t>
        </is>
      </c>
      <c r="B22" s="15">
        <f>B8*B20-B7</f>
        <v/>
      </c>
      <c r="C22" s="5" t="inlineStr">
        <is>
          <t>Depois de infra, taxas e IA</t>
        </is>
      </c>
    </row>
    <row r="23">
      <c r="A23" s="11" t="inlineStr">
        <is>
          <t>Pintores para cobrir o custo fixo</t>
        </is>
      </c>
      <c r="B23" s="16">
        <f>IF(B20&gt;0,ROUNDUP(B7/B20,0),"n/a")</f>
        <v/>
      </c>
      <c r="C23" s="5" t="inlineStr"/>
    </row>
    <row r="25">
      <c r="A25" s="2" t="inlineStr">
        <is>
          <t>4. Modelo B: taxa por transação (plataforma de pagamento)</t>
        </is>
      </c>
      <c r="B25" s="3" t="n"/>
      <c r="C25" s="3" t="n"/>
    </row>
    <row r="26">
      <c r="A26" t="inlineStr">
        <is>
          <t>Recebimentos por pintor por mês passando pelo Medde</t>
        </is>
      </c>
      <c r="B26" s="7" t="n">
        <v>6</v>
      </c>
      <c r="C26" s="5" t="inlineStr">
        <is>
          <t>Suposição (entrada + parcelas)</t>
        </is>
      </c>
    </row>
    <row r="27">
      <c r="A27" t="inlineStr">
        <is>
          <t>% dos pintores que usam o pagamento do Medde</t>
        </is>
      </c>
      <c r="B27" s="6" t="n">
        <v>0.3</v>
      </c>
      <c r="C27" s="5" t="inlineStr">
        <is>
          <t>Suposição; no começo costuma ser baixo</t>
        </is>
      </c>
    </row>
    <row r="28">
      <c r="A28" t="inlineStr">
        <is>
          <t>Taxa do Medde por transação (R$)</t>
        </is>
      </c>
      <c r="B28" s="4" t="n">
        <v>1</v>
      </c>
      <c r="C28" s="5" t="inlineStr"/>
    </row>
    <row r="29">
      <c r="A29" t="inlineStr">
        <is>
          <t>Custo do gateway por transação (R$)</t>
        </is>
      </c>
      <c r="B29" s="4" t="n">
        <v>1.99</v>
      </c>
      <c r="C29" s="5" t="inlineStr">
        <is>
          <t>Pix no Asaas após o período promocional</t>
        </is>
      </c>
    </row>
    <row r="30">
      <c r="A30" s="11" t="inlineStr">
        <is>
          <t>Margem do Medde por transação, se ABSORVER o gateway (R$)</t>
        </is>
      </c>
      <c r="B30" s="13">
        <f>B28-B29</f>
        <v/>
      </c>
      <c r="C30" s="5" t="inlineStr">
        <is>
          <t>Negativo = prejuízo em cada transação</t>
        </is>
      </c>
    </row>
    <row r="31">
      <c r="A31" s="14" t="inlineStr">
        <is>
          <t>Resultado mensal da plataforma, se absorver (R$)</t>
        </is>
      </c>
      <c r="B31" s="15">
        <f>B8*B27*B26*B30-B7</f>
        <v/>
      </c>
      <c r="C31" s="5" t="inlineStr">
        <is>
          <t>Sem assinatura, só transações</t>
        </is>
      </c>
    </row>
    <row r="32">
      <c r="A32" s="14" t="inlineStr">
        <is>
          <t>Resultado mensal, se REPASSAR o gateway ao pintor (R$)</t>
        </is>
      </c>
      <c r="B32" s="15">
        <f>B8*B27*B26*B28-B7</f>
        <v/>
      </c>
      <c r="C32" s="5" t="inlineStr">
        <is>
          <t>O pintor pagaria taxa + gateway por Pix; ele já tem Pix grátis</t>
        </is>
      </c>
    </row>
    <row r="34">
      <c r="A34" s="2" t="inlineStr">
        <is>
          <t>5. Extra opcional (futuro): cartão parcelado pelo Medde</t>
        </is>
      </c>
      <c r="B34" s="3" t="n"/>
      <c r="C34" s="3" t="n"/>
    </row>
    <row r="35">
      <c r="A35" t="inlineStr">
        <is>
          <t>Valor médio de cada recebimento (R$)</t>
        </is>
      </c>
      <c r="B35" s="4" t="n">
        <v>800</v>
      </c>
      <c r="C35" s="5" t="inlineStr">
        <is>
          <t>Suposição</t>
        </is>
      </c>
    </row>
    <row r="36">
      <c r="A36" t="inlineStr">
        <is>
          <t>% dos recebimentos em cartão parcelado pelo Medde</t>
        </is>
      </c>
      <c r="B36" s="6" t="n">
        <v>0.1</v>
      </c>
      <c r="C36" s="5" t="inlineStr">
        <is>
          <t>Suposição</t>
        </is>
      </c>
    </row>
    <row r="37">
      <c r="A37" t="inlineStr">
        <is>
          <t>Margem do Medde sobre o valor (acima do gateway)</t>
        </is>
      </c>
      <c r="B37" s="6" t="n">
        <v>0.015</v>
      </c>
      <c r="C37" s="5" t="inlineStr">
        <is>
          <t>1% a 2% sugerido</t>
        </is>
      </c>
    </row>
    <row r="38">
      <c r="A38" s="11" t="inlineStr">
        <is>
          <t>Receita extra por mês (R$)</t>
        </is>
      </c>
      <c r="B38" s="13">
        <f>B8*B26*B36*B35*B37</f>
        <v/>
      </c>
      <c r="C38" s="5" t="inlineStr">
        <is>
          <t>Soma ao Modelo A (não substitui a assinatura)</t>
        </is>
      </c>
    </row>
    <row r="39">
      <c r="A39" s="14" t="inlineStr">
        <is>
          <t>Resultado mensal: assinatura + extra (R$)</t>
        </is>
      </c>
      <c r="B39" s="15">
        <f>B22+B38</f>
        <v/>
      </c>
      <c r="C39" s="5" t="inlineStr"/>
    </row>
    <row r="41">
      <c r="A41" s="17" t="inlineStr">
        <is>
          <t>Aviso: números de exemplo para decidir direção, não previsão. Confirmar taxas e impostos com o gateway e o contador.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2026-10-07T10:26:18Z</dcterms:created>
  <dcterms:modified xsi:type="dcterms:W3CDTF">2026-10-07T10:26:18Z</dcterms:modified>
</cp:coreProperties>
</file>